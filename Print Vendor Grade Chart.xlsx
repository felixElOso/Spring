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 Chart" sheetId="1" state="visible" r:id="rId3"/>
    <sheet name="Research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<sst xmlns="http://schemas.openxmlformats.org/spreadsheetml/2006/main" count="103" uniqueCount="80">
  <si>
    <t xml:space="preserve">PRINT VENDOR EVALUATION  ·  GRADE CHART</t>
  </si>
  <si>
    <t xml:space="preserve">Scores 1–10 per criterion. Weighted overall score auto-calculates. Adjust any score to update grades instantly.</t>
  </si>
  <si>
    <t xml:space="preserve">Category</t>
  </si>
  <si>
    <t xml:space="preserve">Criterion</t>
  </si>
  <si>
    <t xml:space="preserve">Weight</t>
  </si>
  <si>
    <t xml:space="preserve">Mimeo</t>
  </si>
  <si>
    <t xml:space="preserve">Taylor</t>
  </si>
  <si>
    <t xml:space="preserve">Ansira</t>
  </si>
  <si>
    <t xml:space="preserve">ARC</t>
  </si>
  <si>
    <t xml:space="preserve">Client Portal</t>
  </si>
  <si>
    <t xml:space="preserve">User Access &amp; Permission Levels</t>
  </si>
  <si>
    <t xml:space="preserve">11%</t>
  </si>
  <si>
    <t xml:space="preserve">Add Collateral — VDP &amp; Static</t>
  </si>
  <si>
    <t xml:space="preserve">9%</t>
  </si>
  <si>
    <t xml:space="preserve">Inventory Tracking (Orders, Qty, Destination, Cost)</t>
  </si>
  <si>
    <t xml:space="preserve">12%</t>
  </si>
  <si>
    <t xml:space="preserve">Turnaround</t>
  </si>
  <si>
    <t xml:space="preserve">Next-Day Delivery Capability</t>
  </si>
  <si>
    <t xml:space="preserve">18%</t>
  </si>
  <si>
    <t xml:space="preserve">National Footprint</t>
  </si>
  <si>
    <t xml:space="preserve"># of US Locations / Service Centers</t>
  </si>
  <si>
    <t xml:space="preserve">Vendor &amp; Partner Network Breadth</t>
  </si>
  <si>
    <t xml:space="preserve">7%</t>
  </si>
  <si>
    <t xml:space="preserve">Print Quality</t>
  </si>
  <si>
    <t xml:space="preserve">Client Reviews &amp; Testimonials</t>
  </si>
  <si>
    <t xml:space="preserve">13%</t>
  </si>
  <si>
    <t xml:space="preserve">Pricing</t>
  </si>
  <si>
    <t xml:space="preserve">Value &amp; Competitiveness</t>
  </si>
  <si>
    <t xml:space="preserve">Window Vinyl</t>
  </si>
  <si>
    <t xml:space="preserve">Print &amp; Installation (nationwide)</t>
  </si>
  <si>
    <t xml:space="preserve">10%</t>
  </si>
  <si>
    <t xml:space="preserve">OVERALL WEIGHTED SCORE  (out of 10)</t>
  </si>
  <si>
    <t xml:space="preserve">100%</t>
  </si>
  <si>
    <t xml:space="preserve">GRADE</t>
  </si>
  <si>
    <t xml:space="preserve">SCORING KEY  ·  A+ ≥9.5  ·  A ≥8.5  ·  B+ ≥7.5  ·  B ≥6.5  ·  C ≥5.5  ·  D ≥4.5  ·  F &lt;4.5     |     All scores are research-based — adjust to reflect your direct vendor meetings.</t>
  </si>
  <si>
    <t xml:space="preserve">PRICING NOTE  ·  None of the 4 vendors publish pricing for business cards, flyers, A-frames, folders, or table tops. All require custom quotes. Pricing score reflects value/competitiveness based on published case study results.</t>
  </si>
  <si>
    <t xml:space="preserve">VENDOR RESEARCH NOTES  ·  PRINT VENDOR EVALUATION  ·  APRIL 2026</t>
  </si>
  <si>
    <t xml:space="preserve">User Access &amp; Permissions</t>
  </si>
  <si>
    <t xml:space="preserve">Full admin + secondary admin roles. Per-account permissions, order approvals, budget controls, quantity limits per shopper. White-label portal option available.</t>
  </si>
  <si>
    <t xml:space="preserve">Role-based permissions, fully customizable per org. Audit trails, advanced encryption, SSO. Response Element platform.</t>
  </si>
  <si>
    <t xml:space="preserve">User Admin tool with MFA on all tools. Specific permission tier details not publicly disclosed.</t>
  </si>
  <si>
    <t xml:space="preserve">SSO via Azure AD / Okta / OneLogin (SAML 2.0 &amp; OAuth 2.0). Encryption-based access per user account.</t>
  </si>
  <si>
    <t xml:space="preserve">Add Collateral (VDP &amp; Static)</t>
  </si>
  <si>
    <t xml:space="preserve">VDP fully supported. No minimums — print 1 or 1,000 at same unit price. Easy refresh cycle; no obsolete inventory.</t>
  </si>
  <si>
    <t xml:space="preserve">VDP for variable text/graphics. Unified brand templates across org. Maintains brand consistency at scale.</t>
  </si>
  <si>
    <t xml:space="preserve">Bulk + print-on-demand options. VDP &amp; personalization via Ansira Connect platform.</t>
  </si>
  <si>
    <t xml:space="preserve">VDP supported. Deep cloud integrations: Box, Dropbox, Google Drive, Microsoft Outlook, Egnyte. Files up to 3GB.</t>
  </si>
  <si>
    <t xml:space="preserve">Inventory Tracking</t>
  </si>
  <si>
    <t xml:space="preserve">Real-time 24/7 tracking dashboard. Reports: which locations ordered, when, how much budget used. Multi-location visibility in one view.</t>
  </si>
  <si>
    <t xml:space="preserve">Response Element™: real-time inventory, location-specific order/pull reports, cost tracking, consolidated invoicing. Profile Manager for thousands of discrete locations.</t>
  </si>
  <si>
    <t xml:space="preserve">Confirmed by Four Roses case study: full historical record of who printed what, where POS items went, how many ordered, at what cost.</t>
  </si>
  <si>
    <t xml:space="preserve">Real-time job tracking via ARC Print App (file → production → delivery). Cost breakdown per-order visibility unclear from public sources.</t>
  </si>
  <si>
    <t xml:space="preserve">Next-Day Delivery</t>
  </si>
  <si>
    <t xml:space="preserve">✅ CONFIRMED — Orders by 10 PM ET → delivered by 8 AM next morning. Memphis facility is across from FedEx hub at Memphis International Airport. Earliest pickup time in the country.</t>
  </si>
  <si>
    <t xml:space="preserve">❌ NOT CONFIRMED — Standard turnaround is 2–3 business days. No dedicated next-day offering found in public materials. Must confirm directly.</t>
  </si>
  <si>
    <t xml:space="preserve">❌ NOT CONFIRMED — Standard turnaround is 2–4 business days. No expedited or rush service mentioned publicly.</t>
  </si>
  <si>
    <t xml:space="preserve">✅ STRONG — 140+ locations mean proximity to most destinations. Site claims 'usually less than 24 hours.' Customer reviews confirm same-day service.</t>
  </si>
  <si>
    <t xml:space="preserve"># of US Locations</t>
  </si>
  <si>
    <t xml:space="preserve">2 primary US production facilities: Memphis, TN (140,000 sq ft) and Newark, NJ (76,000 sq ft). Supplemented by global partner network.</t>
  </si>
  <si>
    <t xml:space="preserve">40+ production sites across 32 US states. 66 total global facilities (8 countries). Warehousing in IN, OH, MN.</t>
  </si>
  <si>
    <t xml:space="preserve">19 total global locations. US-specific facility count not disclosed publicly. Operates primarily as a distributed platform.</t>
  </si>
  <si>
    <t xml:space="preserve">140+ service centers across North America. Equipment and services on-site at 10,000+ customer locations. 90,000+ customers served.</t>
  </si>
  <si>
    <t xml:space="preserve">Vendor &amp; Partner Network</t>
  </si>
  <si>
    <t xml:space="preserve">Print Partners Network active in 115+ countries. World's largest global HP Indigo network (30+ locations). Algorithm routes jobs to optimal partner.</t>
  </si>
  <si>
    <t xml:space="preserve">Primarily own production capacity (not broker-based). Acquired Gooten (POD platform) in 2024. Integrates with Ariba, Coupa, Oracle procurement.</t>
  </si>
  <si>
    <t xml:space="preserve">'Hundreds of partners' (not quantified). Functions as platform orchestrating partner ecosystem. Integrated partner ecosystem model.</t>
  </si>
  <si>
    <t xml:space="preserve">Primary equipment vendors: HP, Canon (Océ), Xerox (~35% of supply purchases). Positioned as 'North America's leader for document solutions partners.'</t>
  </si>
  <si>
    <t xml:space="preserve">G2: 4.5/5 (14 reviews) — 'quality is exceptional.' Trustpilot: mixed — some color accuracy complaints. HP Indigo presses with inline color calibration.</t>
  </si>
  <si>
    <t xml:space="preserve">Limited public reviews (B2B enterprise model). Strong client testimonials: Methodist Health, Baptist Health, UNIQLO, Life Time, IIHF. 99% on-time delivery claim.</t>
  </si>
  <si>
    <t xml:space="preserve">G2: well-reviewed (284 reviews). SoftwareFinder: 4.8/5 (10 reviews). Trustpilot: 1 review (negative). Case studies show high client satisfaction.</t>
  </si>
  <si>
    <t xml:space="preserve">G2: 4.5/5 (50 reviews). Overall: 4.95/5 across 21,970 reviews (Birdeye + others). Customers cite 'crisp, clean, high quality.' Net Promoter Score: 50 (ranks 1st vs. competitors per Comparably).</t>
  </si>
  <si>
    <t xml:space="preserve">No published pricing. Dynamic real-time quotes via online configurator. No volume discounts — same per-unit price at 1 or 1,000 units.</t>
  </si>
  <si>
    <t xml:space="preserve">No published pricing. Enterprise B2B custom quotes. No pricing calculator on website. Contact via order.taylorcommunications.com.</t>
  </si>
  <si>
    <t xml:space="preserve">No published pricing. Case studies show strong savings: 84% cost reduction for Moët Hennessy ($840K+), 36% savings for Four Roses ($91K). Pricing appears highly competitive.</t>
  </si>
  <si>
    <t xml:space="preserve">No published pricing. Customer reviews consistently mention 'competitive' and 'reasonable' pricing. Custom quotes via local service centers or e-arc.com.</t>
  </si>
  <si>
    <t xml:space="preserve">❌ NOT OFFERED. No window vinyl printing or installation found. Vinyl banners only. Not a suitable vendor for this service.</t>
  </si>
  <si>
    <t xml:space="preserve">✅ FULL SERVICE. Window graphics, decals, window wraps, frosted glass decals, perforated vinyl (one-way view). Professional installation nationwide via Taylor Visual Group division. 1st and 2nd surface application. Contact: info@taylorvisualgroup.com / 312.953.4136.</t>
  </si>
  <si>
    <t xml:space="preserve">❌ NOT CONFIRMED. No window vinyl or installation found in public materials. Possible through local vendor network but not a stated service — would need to confirm directly.</t>
  </si>
  <si>
    <t xml:space="preserve">✅ FULL SERVICE (most comprehensive). Window graphics, decals, wraps, perforated 70/30 vinyl, window clings. Dedicated professional installation services with nationwide coverage. Full consultation through production, installation, and rollout. Source: e-arc.com/digital-printing/project-management/installation/</t>
  </si>
  <si>
    <t xml:space="preserve">Sources: mimeo.com · taylor.com · ansira.com · e-arc.com · G2 · Trustpilot · SoftwareFinder · Capterra · Wikipedia · Comparably · Birdeye · HubSpot Case Studies · Printing.org · PI World. Research conducted April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</si>
</sst>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21262A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1262A"/>
        <bgColor rgb="FF333300"/>
      </patternFill>
    </fill>
    <fill>
      <patternFill patternType="solid">
        <fgColor rgb="FFF4F4EF"/>
        <bgColor rgb="FFF3F4F6"/>
      </patternFill>
    </fill>
    <fill>
      <patternFill patternType="solid">
        <fgColor rgb="FF374151"/>
        <bgColor rgb="FF21262A"/>
      </patternFill>
    </fill>
    <fill>
      <patternFill patternType="solid">
        <fgColor rgb="FFDBEAFE"/>
        <bgColor rgb="FFEDE9FE"/>
      </patternFill>
    </fill>
    <fill>
      <patternFill patternType="solid">
        <fgColor rgb="FFDCFCE7"/>
        <bgColor rgb="FFF4F4EF"/>
      </patternFill>
    </fill>
    <fill>
      <patternFill patternType="solid">
        <fgColor rgb="FFFEF3C7"/>
        <bgColor rgb="FFFFF0E6"/>
      </patternFill>
    </fill>
    <fill>
      <patternFill patternType="solid">
        <fgColor rgb="FFFCE7F3"/>
        <bgColor rgb="FFFFF0E6"/>
      </patternFill>
    </fill>
    <fill>
      <patternFill patternType="solid">
        <fgColor rgb="FFEDE9FE"/>
        <bgColor rgb="FFFCE7F3"/>
      </patternFill>
    </fill>
    <fill>
      <patternFill patternType="solid">
        <fgColor rgb="FFFFF0E6"/>
        <bgColor rgb="FFF4F4EF"/>
      </patternFill>
    </fill>
    <fill>
      <patternFill patternType="solid">
        <fgColor rgb="FFFF808C"/>
        <bgColor rgb="FFFF99CC"/>
      </patternFill>
    </fill>
    <fill>
      <patternFill patternType="solid">
        <fgColor rgb="FFF3F4F6"/>
        <bgColor rgb="FFF4F4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9FE"/>
      <rgbColor rgb="FF808080"/>
      <rgbColor rgb="FF9999FF"/>
      <rgbColor rgb="FF993366"/>
      <rgbColor rgb="FFFEF3C7"/>
      <rgbColor rgb="FFDCFCE7"/>
      <rgbColor rgb="FF660066"/>
      <rgbColor rgb="FFFF808C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4F4EF"/>
      <rgbColor rgb="FFFFF0E6"/>
      <rgbColor rgb="FFF3F4F6"/>
      <rgbColor rgb="FFFF99CC"/>
      <rgbColor rgb="FFCC99FF"/>
      <rgbColor rgb="FFFCE7F3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2126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7" min="4" style="0" width="1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24" hidden="false" customHeight="true" outlineLevel="0" collapsed="false">
      <c r="A4" s="4" t="s">
        <v>9</v>
      </c>
      <c r="B4" s="5" t="s">
        <v>10</v>
      </c>
      <c r="C4" s="6" t="s">
        <v>11</v>
      </c>
      <c r="D4" s="7" t="n">
        <v>8</v>
      </c>
      <c r="E4" s="7" t="n">
        <v>8</v>
      </c>
      <c r="F4" s="7" t="n">
        <v>6</v>
      </c>
      <c r="G4" s="7" t="n">
        <v>8</v>
      </c>
    </row>
    <row r="5" customFormat="false" ht="24" hidden="false" customHeight="true" outlineLevel="0" collapsed="false">
      <c r="A5" s="4" t="s">
        <v>9</v>
      </c>
      <c r="B5" s="5" t="s">
        <v>12</v>
      </c>
      <c r="C5" s="6" t="s">
        <v>13</v>
      </c>
      <c r="D5" s="7" t="n">
        <v>8</v>
      </c>
      <c r="E5" s="7" t="n">
        <v>8</v>
      </c>
      <c r="F5" s="7" t="n">
        <v>7</v>
      </c>
      <c r="G5" s="7" t="n">
        <v>8</v>
      </c>
    </row>
    <row r="6" customFormat="false" ht="24" hidden="false" customHeight="true" outlineLevel="0" collapsed="false">
      <c r="A6" s="4" t="s">
        <v>9</v>
      </c>
      <c r="B6" s="5" t="s">
        <v>14</v>
      </c>
      <c r="C6" s="6" t="s">
        <v>15</v>
      </c>
      <c r="D6" s="7" t="n">
        <v>8</v>
      </c>
      <c r="E6" s="7" t="n">
        <v>9</v>
      </c>
      <c r="F6" s="7" t="n">
        <v>7</v>
      </c>
      <c r="G6" s="7" t="n">
        <v>7</v>
      </c>
    </row>
    <row r="7" customFormat="false" ht="24" hidden="false" customHeight="true" outlineLevel="0" collapsed="false">
      <c r="A7" s="8" t="s">
        <v>16</v>
      </c>
      <c r="B7" s="9" t="s">
        <v>17</v>
      </c>
      <c r="C7" s="10" t="s">
        <v>18</v>
      </c>
      <c r="D7" s="7" t="n">
        <v>10</v>
      </c>
      <c r="E7" s="7" t="n">
        <v>4</v>
      </c>
      <c r="F7" s="7" t="n">
        <v>3</v>
      </c>
      <c r="G7" s="7" t="n">
        <v>8</v>
      </c>
    </row>
    <row r="8" customFormat="false" ht="24" hidden="false" customHeight="true" outlineLevel="0" collapsed="false">
      <c r="A8" s="11" t="s">
        <v>19</v>
      </c>
      <c r="B8" s="12" t="s">
        <v>20</v>
      </c>
      <c r="C8" s="13" t="s">
        <v>11</v>
      </c>
      <c r="D8" s="7" t="n">
        <v>4</v>
      </c>
      <c r="E8" s="7" t="n">
        <v>9</v>
      </c>
      <c r="F8" s="7" t="n">
        <v>4</v>
      </c>
      <c r="G8" s="7" t="n">
        <v>10</v>
      </c>
    </row>
    <row r="9" customFormat="false" ht="24" hidden="false" customHeight="true" outlineLevel="0" collapsed="false">
      <c r="A9" s="11" t="s">
        <v>19</v>
      </c>
      <c r="B9" s="12" t="s">
        <v>21</v>
      </c>
      <c r="C9" s="13" t="s">
        <v>22</v>
      </c>
      <c r="D9" s="7" t="n">
        <v>7</v>
      </c>
      <c r="E9" s="7" t="n">
        <v>6</v>
      </c>
      <c r="F9" s="7" t="n">
        <v>8</v>
      </c>
      <c r="G9" s="7" t="n">
        <v>7</v>
      </c>
    </row>
    <row r="10" customFormat="false" ht="24" hidden="false" customHeight="true" outlineLevel="0" collapsed="false">
      <c r="A10" s="14" t="s">
        <v>23</v>
      </c>
      <c r="B10" s="15" t="s">
        <v>24</v>
      </c>
      <c r="C10" s="16" t="s">
        <v>25</v>
      </c>
      <c r="D10" s="7" t="n">
        <v>7</v>
      </c>
      <c r="E10" s="7" t="n">
        <v>7</v>
      </c>
      <c r="F10" s="7" t="n">
        <v>7</v>
      </c>
      <c r="G10" s="7" t="n">
        <v>9</v>
      </c>
    </row>
    <row r="11" customFormat="false" ht="24" hidden="false" customHeight="true" outlineLevel="0" collapsed="false">
      <c r="A11" s="17" t="s">
        <v>26</v>
      </c>
      <c r="B11" s="18" t="s">
        <v>27</v>
      </c>
      <c r="C11" s="19" t="s">
        <v>13</v>
      </c>
      <c r="D11" s="7" t="n">
        <v>6</v>
      </c>
      <c r="E11" s="7" t="n">
        <v>7</v>
      </c>
      <c r="F11" s="7" t="n">
        <v>9</v>
      </c>
      <c r="G11" s="7" t="n">
        <v>7</v>
      </c>
    </row>
    <row r="12" customFormat="false" ht="24" hidden="false" customHeight="true" outlineLevel="0" collapsed="false">
      <c r="A12" s="20" t="s">
        <v>28</v>
      </c>
      <c r="B12" s="21" t="s">
        <v>29</v>
      </c>
      <c r="C12" s="22" t="s">
        <v>30</v>
      </c>
      <c r="D12" s="7" t="n">
        <v>1</v>
      </c>
      <c r="E12" s="7" t="n">
        <v>9</v>
      </c>
      <c r="F12" s="7" t="n">
        <v>2</v>
      </c>
      <c r="G12" s="7" t="n">
        <v>10</v>
      </c>
    </row>
    <row r="13" customFormat="false" ht="6" hidden="false" customHeight="true" outlineLevel="0" collapsed="false">
      <c r="A13" s="23"/>
      <c r="B13" s="23"/>
      <c r="C13" s="23"/>
      <c r="D13" s="23"/>
      <c r="E13" s="23"/>
      <c r="F13" s="23"/>
      <c r="G13" s="23"/>
    </row>
    <row r="14" customFormat="false" ht="30" hidden="false" customHeight="true" outlineLevel="0" collapsed="false">
      <c r="A14" s="24" t="s">
        <v>31</v>
      </c>
      <c r="B14" s="24"/>
      <c r="C14" s="25" t="s">
        <v>32</v>
      </c>
      <c r="D14" s="26" t="n">
        <f aca="false">D4*0.11+D5*0.09+D6*0.12+D7*0.18+D8*0.11+D9*0.07+D10*0.13+D11*0.09+D12*0.1</f>
        <v>6.84</v>
      </c>
      <c r="E14" s="26" t="n">
        <f aca="false">E4*0.11+E5*0.09+E6*0.12+E7*0.18+E8*0.11+E9*0.07+E10*0.13+E11*0.09+E12*0.1</f>
        <v>7.25</v>
      </c>
      <c r="F14" s="26" t="n">
        <f aca="false">F4*0.11+F5*0.09+F6*0.12+F7*0.18+F8*0.11+F9*0.07+F10*0.13+F11*0.09+F12*0.1</f>
        <v>5.59</v>
      </c>
      <c r="G14" s="26" t="n">
        <f aca="false">G4*0.11+G5*0.09+G6*0.12+G7*0.18+G8*0.11+G9*0.07+G10*0.13+G11*0.09+G12*0.1</f>
        <v>8.27</v>
      </c>
    </row>
    <row r="15" customFormat="false" ht="36" hidden="false" customHeight="true" outlineLevel="0" collapsed="false">
      <c r="A15" s="27" t="s">
        <v>33</v>
      </c>
      <c r="B15" s="27"/>
      <c r="C15" s="27"/>
      <c r="D15" s="28" t="str">
        <f aca="false">IF(D14&gt;=9.5,"A+",IF(D14&gt;=8.5,"A",IF(D14&gt;=7.5,"B+",IF(D14&gt;=6.5,"B",IF(D14&gt;=5.5,"C",IF(D14&gt;=4.5,"D","F"))))))</f>
        <v>B</v>
      </c>
      <c r="E15" s="28" t="str">
        <f aca="false">IF(E14&gt;=9.5,"A+",IF(E14&gt;=8.5,"A",IF(E14&gt;=7.5,"B+",IF(E14&gt;=6.5,"B",IF(E14&gt;=5.5,"C",IF(E14&gt;=4.5,"D","F"))))))</f>
        <v>B</v>
      </c>
      <c r="F15" s="28" t="str">
        <f aca="false">IF(F14&gt;=9.5,"A+",IF(F14&gt;=8.5,"A",IF(F14&gt;=7.5,"B+",IF(F14&gt;=6.5,"B",IF(F14&gt;=5.5,"C",IF(F14&gt;=4.5,"D","F"))))))</f>
        <v>C</v>
      </c>
      <c r="G15" s="28" t="str">
        <f aca="false">IF(G14&gt;=9.5,"A+",IF(G14&gt;=8.5,"A",IF(G14&gt;=7.5,"B+",IF(G14&gt;=6.5,"B",IF(G14&gt;=5.5,"C",IF(G14&gt;=4.5,"D","F"))))))</f>
        <v>B+</v>
      </c>
    </row>
    <row r="17" customFormat="false" ht="15.75" hidden="false" customHeight="true" outlineLevel="0" collapsed="false">
      <c r="A17" s="29" t="s">
        <v>34</v>
      </c>
      <c r="B17" s="29"/>
      <c r="C17" s="29"/>
      <c r="D17" s="29"/>
      <c r="E17" s="29"/>
      <c r="F17" s="29"/>
      <c r="G17" s="29"/>
    </row>
    <row r="18" customFormat="false" ht="15.75" hidden="false" customHeight="true" outlineLevel="0" collapsed="false">
      <c r="A18" s="29" t="s">
        <v>35</v>
      </c>
      <c r="B18" s="29"/>
      <c r="C18" s="29"/>
      <c r="D18" s="29"/>
      <c r="E18" s="29"/>
      <c r="F18" s="29"/>
      <c r="G18" s="29"/>
    </row>
  </sheetData>
  <mergeCells count="6">
    <mergeCell ref="A1:G1"/>
    <mergeCell ref="A2:G2"/>
    <mergeCell ref="A14:B14"/>
    <mergeCell ref="A15:C15"/>
    <mergeCell ref="A17:G17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6" min="3" style="0" width="44"/>
  </cols>
  <sheetData>
    <row r="1" customFormat="false" ht="36" hidden="false" customHeight="true" outlineLevel="0" collapsed="false">
      <c r="A1" s="30" t="s">
        <v>36</v>
      </c>
      <c r="B1" s="30"/>
      <c r="C1" s="30"/>
      <c r="D1" s="30"/>
      <c r="E1" s="30"/>
      <c r="F1" s="30"/>
    </row>
    <row r="2" customFormat="false" ht="21.75" hidden="false" customHeight="true" outlineLevel="0" collapsed="false">
      <c r="A2" s="3" t="s">
        <v>2</v>
      </c>
      <c r="B2" s="3" t="s">
        <v>3</v>
      </c>
      <c r="C2" s="3" t="s">
        <v>5</v>
      </c>
      <c r="D2" s="3" t="s">
        <v>6</v>
      </c>
      <c r="E2" s="3" t="s">
        <v>7</v>
      </c>
      <c r="F2" s="3" t="s">
        <v>8</v>
      </c>
    </row>
    <row r="3" customFormat="false" ht="79.5" hidden="false" customHeight="true" outlineLevel="0" collapsed="false">
      <c r="A3" s="31" t="s">
        <v>9</v>
      </c>
      <c r="B3" s="31" t="s">
        <v>37</v>
      </c>
      <c r="C3" s="32" t="s">
        <v>38</v>
      </c>
      <c r="D3" s="32" t="s">
        <v>39</v>
      </c>
      <c r="E3" s="32" t="s">
        <v>40</v>
      </c>
      <c r="F3" s="32" t="s">
        <v>41</v>
      </c>
    </row>
    <row r="4" customFormat="false" ht="79.5" hidden="false" customHeight="true" outlineLevel="0" collapsed="false">
      <c r="A4" s="31" t="s">
        <v>9</v>
      </c>
      <c r="B4" s="31" t="s">
        <v>42</v>
      </c>
      <c r="C4" s="32" t="s">
        <v>43</v>
      </c>
      <c r="D4" s="32" t="s">
        <v>44</v>
      </c>
      <c r="E4" s="32" t="s">
        <v>45</v>
      </c>
      <c r="F4" s="32" t="s">
        <v>46</v>
      </c>
    </row>
    <row r="5" customFormat="false" ht="79.5" hidden="false" customHeight="true" outlineLevel="0" collapsed="false">
      <c r="A5" s="31" t="s">
        <v>9</v>
      </c>
      <c r="B5" s="31" t="s">
        <v>47</v>
      </c>
      <c r="C5" s="32" t="s">
        <v>48</v>
      </c>
      <c r="D5" s="32" t="s">
        <v>49</v>
      </c>
      <c r="E5" s="32" t="s">
        <v>50</v>
      </c>
      <c r="F5" s="32" t="s">
        <v>51</v>
      </c>
    </row>
    <row r="6" customFormat="false" ht="79.5" hidden="false" customHeight="true" outlineLevel="0" collapsed="false">
      <c r="A6" s="33" t="s">
        <v>16</v>
      </c>
      <c r="B6" s="33" t="s">
        <v>52</v>
      </c>
      <c r="C6" s="34" t="s">
        <v>53</v>
      </c>
      <c r="D6" s="34" t="s">
        <v>54</v>
      </c>
      <c r="E6" s="34" t="s">
        <v>55</v>
      </c>
      <c r="F6" s="34" t="s">
        <v>56</v>
      </c>
    </row>
    <row r="7" customFormat="false" ht="79.5" hidden="false" customHeight="true" outlineLevel="0" collapsed="false">
      <c r="A7" s="35" t="s">
        <v>19</v>
      </c>
      <c r="B7" s="35" t="s">
        <v>57</v>
      </c>
      <c r="C7" s="36" t="s">
        <v>58</v>
      </c>
      <c r="D7" s="36" t="s">
        <v>59</v>
      </c>
      <c r="E7" s="36" t="s">
        <v>60</v>
      </c>
      <c r="F7" s="36" t="s">
        <v>61</v>
      </c>
    </row>
    <row r="8" customFormat="false" ht="79.5" hidden="false" customHeight="true" outlineLevel="0" collapsed="false">
      <c r="A8" s="35" t="s">
        <v>19</v>
      </c>
      <c r="B8" s="35" t="s">
        <v>62</v>
      </c>
      <c r="C8" s="36" t="s">
        <v>63</v>
      </c>
      <c r="D8" s="36" t="s">
        <v>64</v>
      </c>
      <c r="E8" s="36" t="s">
        <v>65</v>
      </c>
      <c r="F8" s="36" t="s">
        <v>66</v>
      </c>
    </row>
    <row r="9" customFormat="false" ht="79.5" hidden="false" customHeight="true" outlineLevel="0" collapsed="false">
      <c r="A9" s="37" t="s">
        <v>23</v>
      </c>
      <c r="B9" s="37" t="s">
        <v>24</v>
      </c>
      <c r="C9" s="38" t="s">
        <v>67</v>
      </c>
      <c r="D9" s="38" t="s">
        <v>68</v>
      </c>
      <c r="E9" s="38" t="s">
        <v>69</v>
      </c>
      <c r="F9" s="38" t="s">
        <v>70</v>
      </c>
    </row>
    <row r="10" customFormat="false" ht="79.5" hidden="false" customHeight="true" outlineLevel="0" collapsed="false">
      <c r="A10" s="39" t="s">
        <v>26</v>
      </c>
      <c r="B10" s="39" t="s">
        <v>27</v>
      </c>
      <c r="C10" s="40" t="s">
        <v>71</v>
      </c>
      <c r="D10" s="40" t="s">
        <v>72</v>
      </c>
      <c r="E10" s="40" t="s">
        <v>73</v>
      </c>
      <c r="F10" s="40" t="s">
        <v>74</v>
      </c>
    </row>
    <row r="11" customFormat="false" ht="79.5" hidden="false" customHeight="true" outlineLevel="0" collapsed="false">
      <c r="A11" s="41" t="s">
        <v>28</v>
      </c>
      <c r="B11" s="41" t="s">
        <v>29</v>
      </c>
      <c r="C11" s="42" t="s">
        <v>75</v>
      </c>
      <c r="D11" s="42" t="s">
        <v>76</v>
      </c>
      <c r="E11" s="42" t="s">
        <v>77</v>
      </c>
      <c r="F11" s="42" t="s">
        <v>78</v>
      </c>
    </row>
    <row r="13" customFormat="false" ht="27.75" hidden="false" customHeight="true" outlineLevel="0" collapsed="false">
      <c r="A13" s="43" t="s">
        <v>79</v>
      </c>
      <c r="B13" s="43"/>
      <c r="C13" s="43"/>
      <c r="D13" s="43"/>
      <c r="E13" s="43"/>
      <c r="F13" s="43"/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2026-04-14T15:09:44Z</dcterms:created>
  <dc:creator>openpyxl</dc:creator>
  <dc:description/>
  <dc:language>en-US</dc:language>
  <cp:lastModifiedBy/>
  <dcterms:modified xsi:type="dcterms:W3CDTF">2026-04-14T15:09:44Z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